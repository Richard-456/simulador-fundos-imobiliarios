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cuments\Galo\simulador-fundos-imobiliarios\"/>
    </mc:Choice>
  </mc:AlternateContent>
  <xr:revisionPtr revIDLastSave="0" documentId="13_ncr:1_{E7A5F5B2-C05B-4986-B386-2F48E98CE9A8}" xr6:coauthVersionLast="46" xr6:coauthVersionMax="46" xr10:uidLastSave="{00000000-0000-0000-0000-000000000000}"/>
  <bookViews>
    <workbookView xWindow="-120" yWindow="-120" windowWidth="29040" windowHeight="15720" tabRatio="500" xr2:uid="{00000000-000D-0000-FFFF-FFFF00000000}"/>
  </bookViews>
  <sheets>
    <sheet name="Simulador" sheetId="1" r:id="rId1"/>
    <sheet name="Apoio" sheetId="2" r:id="rId2"/>
  </sheets>
  <definedNames>
    <definedName name="aporte">Simulador!$C$7</definedName>
    <definedName name="aporte_sugerido">Simulador!$C$20</definedName>
    <definedName name="patrimonio">Simulador!$C$12</definedName>
    <definedName name="pct_sugerido">Simulador!$C$19</definedName>
    <definedName name="perfil">Simulador!$C$26</definedName>
    <definedName name="prazo_anos">Simulador!$C$8</definedName>
    <definedName name="salario">Simulador!$C$18</definedName>
    <definedName name="tab_perfis">Apoio!$A$3:$D$20</definedName>
    <definedName name="taxa_mensal">Simulador!$C$9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2" l="1"/>
  <c r="D24" i="2"/>
  <c r="D23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1" i="1"/>
  <c r="C20" i="1"/>
  <c r="C22" i="1" s="1"/>
  <c r="C23" i="1" s="1"/>
  <c r="C14" i="1"/>
  <c r="H12" i="1"/>
  <c r="I12" i="1" s="1"/>
  <c r="G12" i="1"/>
  <c r="C12" i="1"/>
  <c r="C13" i="1" s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D34" i="1" l="1"/>
  <c r="C15" i="1"/>
  <c r="C34" i="1"/>
</calcChain>
</file>

<file path=xl/sharedStrings.xml><?xml version="1.0" encoding="utf-8"?>
<sst xmlns="http://schemas.openxmlformats.org/spreadsheetml/2006/main" count="88" uniqueCount="47">
  <si>
    <t>SIMULADOR DE FUNDOS IMOBILIÁRIOS</t>
  </si>
  <si>
    <t>Preencha somente as células amarelas. As células cinzas são calculadas — não edite.</t>
  </si>
  <si>
    <t>1 — QUANTO, POR QUANTO TEMPO E A QUE TAXA</t>
  </si>
  <si>
    <t>PROJEÇÃO DE PATRIMÔNIO POR PRAZO</t>
  </si>
  <si>
    <t>Quanto investir por mês (aporte)</t>
  </si>
  <si>
    <t>Anos</t>
  </si>
  <si>
    <t>Total aportado</t>
  </si>
  <si>
    <t>Patrimônio</t>
  </si>
  <si>
    <t>Dividendos/mês</t>
  </si>
  <si>
    <t>Por quantos anos</t>
  </si>
  <si>
    <t>Taxa de rendimento mensal</t>
  </si>
  <si>
    <t>2 — QUANTO VOCÊ TERÁ</t>
  </si>
  <si>
    <t>Patrimônio acumulado</t>
  </si>
  <si>
    <t>Dividendos por mês</t>
  </si>
  <si>
    <t>Total aportado no período</t>
  </si>
  <si>
    <t>Os cenários usam os intervalos nomeados aporte e taxa_mensal — referência absoluta por natureza.</t>
  </si>
  <si>
    <t>Rendimento gerado (juros compostos)</t>
  </si>
  <si>
    <t>3 — CONFIGURAÇÕES</t>
  </si>
  <si>
    <t>Salário mensal (valor de exemplo)</t>
  </si>
  <si>
    <t>% do salário sugerido para aporte</t>
  </si>
  <si>
    <t>Aporte sugerido (30% do salário)</t>
  </si>
  <si>
    <t>Rendimento anual equivalente da carteira</t>
  </si>
  <si>
    <t>Patrimônio usando o aporte sugerido</t>
  </si>
  <si>
    <t>Dividendos/mês usando o aporte sugerido</t>
  </si>
  <si>
    <t>4 — DIVISÃO DO APORTE POR PERFIL</t>
  </si>
  <si>
    <t>Perfil de investidor (escolha na lista)</t>
  </si>
  <si>
    <t>Moderado</t>
  </si>
  <si>
    <t>Tipo de fundo</t>
  </si>
  <si>
    <t>% do aporte</t>
  </si>
  <si>
    <t>Valor por mês</t>
  </si>
  <si>
    <t>Lajes Corporativas</t>
  </si>
  <si>
    <t>Shoppings</t>
  </si>
  <si>
    <t>Galpões Logísticos</t>
  </si>
  <si>
    <t>Papel (CRI)</t>
  </si>
  <si>
    <t>Fundo de Fundos (FOF)</t>
  </si>
  <si>
    <t>Híbrido</t>
  </si>
  <si>
    <t>TOTAL</t>
  </si>
  <si>
    <t>O percentual vem da aba Apoio pelo PROCV (VLOOKUP), usando a chave composta perfil &amp; "-" &amp; tipo de fundo.</t>
  </si>
  <si>
    <t>TABELA DE APOIO — divisão do aporte por perfil de investidor</t>
  </si>
  <si>
    <t>Chave (Perfil-Tipo)</t>
  </si>
  <si>
    <t>Perfil</t>
  </si>
  <si>
    <t>Percentual</t>
  </si>
  <si>
    <t>Lista de perfis</t>
  </si>
  <si>
    <t>Conservador</t>
  </si>
  <si>
    <t>Arrojado</t>
  </si>
  <si>
    <t>Cenários de prazo (anos)</t>
  </si>
  <si>
    <t>Soma por perfil (conferência):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</si>
</sst>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8"/>
      <color rgb="FF808080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b/>
      <sz val="11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00"/>
      <name val="Arial"/>
      <charset val="1"/>
    </font>
    <font>
      <b/>
      <sz val="13"/>
      <color rgb="FF1F4E79"/>
      <name val="Arial"/>
      <charset val="1"/>
    </font>
    <font>
      <sz val="10"/>
      <name val="Arial"/>
      <charset val="1"/>
    </font>
    <font>
      <b/>
      <sz val="12"/>
      <color rgb="FF1F4E79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family val="2"/>
    </font>
    <font>
      <b/>
      <sz val="11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/>
    <xf numFmtId="0" fontId="10" fillId="0" borderId="1" xfId="0" applyFont="1" applyBorder="1"/>
    <xf numFmtId="0" fontId="7" fillId="0" borderId="1" xfId="0" applyFont="1" applyBorder="1"/>
    <xf numFmtId="0" fontId="11" fillId="0" borderId="0" xfId="0" applyFont="1" applyAlignment="1">
      <alignment vertical="center"/>
    </xf>
    <xf numFmtId="0" fontId="12" fillId="0" borderId="0" xfId="0" applyFont="1"/>
    <xf numFmtId="0" fontId="7" fillId="0" borderId="0" xfId="0" applyFont="1"/>
    <xf numFmtId="0" fontId="10" fillId="0" borderId="0" xfId="0" applyFont="1"/>
    <xf numFmtId="0" fontId="6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9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2" borderId="0" xfId="0" applyFont="1" applyFill="1" applyAlignment="1">
      <alignment horizontal="left" vertical="center" indent="1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6314F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no perfil escolhido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Simulador!$D$27</c:f>
              <c:strCache>
                <c:ptCount val="1"/>
                <c:pt idx="0">
                  <c:v>Valor por mês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43E-4348-84FE-E09235FD9F8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43E-4348-84FE-E09235FD9F8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43E-4348-84FE-E09235FD9F8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43E-4348-84FE-E09235FD9F8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43E-4348-84FE-E09235FD9F88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43E-4348-84FE-E09235FD9F8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3E-4348-84FE-E09235FD9F8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3E-4348-84FE-E09235FD9F8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3E-4348-84FE-E09235FD9F8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3E-4348-84FE-E09235FD9F8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3E-4348-84FE-E09235FD9F8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3E-4348-84FE-E09235FD9F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Simulador!$B$28:$B$33</c:f>
              <c:strCache>
                <c:ptCount val="6"/>
                <c:pt idx="0">
                  <c:v>Lajes Corporativas</c:v>
                </c:pt>
                <c:pt idx="1">
                  <c:v>Shoppings</c:v>
                </c:pt>
                <c:pt idx="2">
                  <c:v>Galpões Logísticos</c:v>
                </c:pt>
                <c:pt idx="3">
                  <c:v>Papel (CRI)</c:v>
                </c:pt>
                <c:pt idx="4">
                  <c:v>Fundo de Fundos (FOF)</c:v>
                </c:pt>
                <c:pt idx="5">
                  <c:v>Híbrido</c:v>
                </c:pt>
              </c:strCache>
            </c:strRef>
          </c:cat>
          <c:val>
            <c:numRef>
              <c:f>Simulador!$D$28:$D$33</c:f>
              <c:numCache>
                <c:formatCode>General</c:formatCode>
                <c:ptCount val="6"/>
                <c:pt idx="0">
                  <c:v>150</c:v>
                </c:pt>
                <c:pt idx="1">
                  <c:v>250</c:v>
                </c:pt>
                <c:pt idx="2">
                  <c:v>250</c:v>
                </c:pt>
                <c:pt idx="3">
                  <c:v>100</c:v>
                </c:pt>
                <c:pt idx="4">
                  <c:v>150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3E-4348-84FE-E09235FD9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14</xdr:row>
      <xdr:rowOff>170805</xdr:rowOff>
    </xdr:from>
    <xdr:to>
      <xdr:col>10</xdr:col>
      <xdr:colOff>140265</xdr:colOff>
      <xdr:row>30</xdr:row>
      <xdr:rowOff>68205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showGridLines="0" tabSelected="1" zoomScaleNormal="100" workbookViewId="0">
      <selection activeCell="C26" sqref="C26"/>
    </sheetView>
  </sheetViews>
  <sheetFormatPr defaultColWidth="8.7109375" defaultRowHeight="15" x14ac:dyDescent="0.25"/>
  <cols>
    <col min="1" max="1" width="2" customWidth="1"/>
    <col min="2" max="2" width="36" customWidth="1"/>
    <col min="3" max="3" width="17" style="13" customWidth="1"/>
    <col min="4" max="4" width="17" customWidth="1"/>
    <col min="5" max="5" width="2" customWidth="1"/>
    <col min="6" max="6" width="11" customWidth="1"/>
    <col min="7" max="9" width="17" style="13" customWidth="1"/>
    <col min="10" max="10" width="2" customWidth="1"/>
  </cols>
  <sheetData>
    <row r="2" spans="2:9" ht="27.75" customHeight="1" x14ac:dyDescent="0.25">
      <c r="B2" s="20" t="s">
        <v>0</v>
      </c>
      <c r="C2" s="20"/>
      <c r="D2" s="20"/>
      <c r="E2" s="20"/>
      <c r="F2" s="20"/>
      <c r="G2" s="20"/>
      <c r="H2" s="20"/>
      <c r="I2" s="20"/>
    </row>
    <row r="3" spans="2:9" ht="15.75" customHeight="1" x14ac:dyDescent="0.25">
      <c r="B3" s="20"/>
      <c r="C3" s="20"/>
      <c r="D3" s="20"/>
      <c r="E3" s="20"/>
      <c r="F3" s="20"/>
      <c r="G3" s="20"/>
      <c r="H3" s="20"/>
      <c r="I3" s="20"/>
    </row>
    <row r="4" spans="2:9" x14ac:dyDescent="0.25">
      <c r="B4" s="21" t="s">
        <v>1</v>
      </c>
      <c r="C4" s="21"/>
      <c r="D4" s="21"/>
      <c r="E4" s="21"/>
      <c r="F4" s="21"/>
      <c r="G4" s="21"/>
      <c r="H4" s="21"/>
      <c r="I4" s="21"/>
    </row>
    <row r="6" spans="2:9" ht="19.5" customHeight="1" x14ac:dyDescent="0.25">
      <c r="B6" s="22" t="s">
        <v>2</v>
      </c>
      <c r="C6" s="22"/>
      <c r="D6" s="22"/>
      <c r="F6" s="19" t="s">
        <v>3</v>
      </c>
      <c r="G6" s="19"/>
      <c r="H6" s="19"/>
      <c r="I6" s="19"/>
    </row>
    <row r="7" spans="2:9" x14ac:dyDescent="0.25">
      <c r="B7" s="1" t="s">
        <v>4</v>
      </c>
      <c r="C7" s="12">
        <v>1000</v>
      </c>
      <c r="F7" s="11" t="s">
        <v>5</v>
      </c>
      <c r="G7" s="16" t="s">
        <v>6</v>
      </c>
      <c r="H7" s="16" t="s">
        <v>7</v>
      </c>
      <c r="I7" s="16" t="s">
        <v>8</v>
      </c>
    </row>
    <row r="8" spans="2:9" x14ac:dyDescent="0.25">
      <c r="B8" s="1" t="s">
        <v>9</v>
      </c>
      <c r="C8" s="12">
        <v>10</v>
      </c>
      <c r="F8" s="2">
        <v>2</v>
      </c>
      <c r="G8" s="15">
        <f>aporte*$F8*12</f>
        <v>24000</v>
      </c>
      <c r="H8" s="15">
        <f>-FV(taxa_mensal,$F8*12,aporte)</f>
        <v>26343.155111119566</v>
      </c>
      <c r="I8" s="15">
        <f>H8*taxa_mensal</f>
        <v>210.74524088895654</v>
      </c>
    </row>
    <row r="9" spans="2:9" x14ac:dyDescent="0.25">
      <c r="B9" s="1" t="s">
        <v>10</v>
      </c>
      <c r="C9" s="12">
        <v>8.0000000000000002E-3</v>
      </c>
      <c r="F9" s="2">
        <v>5</v>
      </c>
      <c r="G9" s="15">
        <f>aporte*$F9*12</f>
        <v>60000</v>
      </c>
      <c r="H9" s="15">
        <f>-FV(taxa_mensal,$F9*12,aporte)</f>
        <v>76623.866831880223</v>
      </c>
      <c r="I9" s="15">
        <f>H9*taxa_mensal</f>
        <v>612.99093465504177</v>
      </c>
    </row>
    <row r="10" spans="2:9" x14ac:dyDescent="0.25">
      <c r="F10" s="2">
        <v>10</v>
      </c>
      <c r="G10" s="15">
        <f>aporte*$F10*12</f>
        <v>120000</v>
      </c>
      <c r="H10" s="15">
        <f>-FV(taxa_mensal,$F10*12,aporte)</f>
        <v>200217.46940991812</v>
      </c>
      <c r="I10" s="15">
        <f>H10*taxa_mensal</f>
        <v>1601.739755279345</v>
      </c>
    </row>
    <row r="11" spans="2:9" ht="19.5" customHeight="1" x14ac:dyDescent="0.25">
      <c r="B11" s="19" t="s">
        <v>11</v>
      </c>
      <c r="C11" s="19"/>
      <c r="D11" s="19"/>
      <c r="F11" s="2">
        <v>20</v>
      </c>
      <c r="G11" s="15">
        <f>aporte*$F11*12</f>
        <v>240000</v>
      </c>
      <c r="H11" s="15">
        <f>-FV(taxa_mensal,$F11*12,aporte)</f>
        <v>721131.21927512833</v>
      </c>
      <c r="I11" s="15">
        <f>H11*taxa_mensal</f>
        <v>5769.0497542010271</v>
      </c>
    </row>
    <row r="12" spans="2:9" ht="16.5" x14ac:dyDescent="0.25">
      <c r="B12" s="1" t="s">
        <v>12</v>
      </c>
      <c r="C12" s="14">
        <f>-FV(taxa_mensal,prazo_anos*12,aporte)</f>
        <v>200217.46940991812</v>
      </c>
      <c r="F12" s="2">
        <v>30</v>
      </c>
      <c r="G12" s="15">
        <f>aporte*$F12*12</f>
        <v>360000</v>
      </c>
      <c r="H12" s="15">
        <f>-FV(taxa_mensal,$F12*12,aporte)</f>
        <v>2076413.2313710852</v>
      </c>
      <c r="I12" s="15">
        <f>H12*taxa_mensal</f>
        <v>16611.305850968682</v>
      </c>
    </row>
    <row r="13" spans="2:9" ht="16.5" x14ac:dyDescent="0.25">
      <c r="B13" s="1" t="s">
        <v>13</v>
      </c>
      <c r="C13" s="14">
        <f>patrimonio*taxa_mensal</f>
        <v>1601.739755279345</v>
      </c>
    </row>
    <row r="14" spans="2:9" x14ac:dyDescent="0.25">
      <c r="B14" s="1" t="s">
        <v>14</v>
      </c>
      <c r="C14" s="15">
        <f>aporte*prazo_anos*12</f>
        <v>120000</v>
      </c>
      <c r="F14" s="4" t="s">
        <v>15</v>
      </c>
    </row>
    <row r="15" spans="2:9" x14ac:dyDescent="0.25">
      <c r="B15" s="1" t="s">
        <v>16</v>
      </c>
      <c r="C15" s="15">
        <f>patrimonio-C14</f>
        <v>80217.469409918122</v>
      </c>
    </row>
    <row r="17" spans="2:4" ht="19.5" customHeight="1" x14ac:dyDescent="0.25">
      <c r="B17" s="19" t="s">
        <v>17</v>
      </c>
      <c r="C17" s="19"/>
      <c r="D17" s="19"/>
    </row>
    <row r="18" spans="2:4" x14ac:dyDescent="0.25">
      <c r="B18" s="1" t="s">
        <v>18</v>
      </c>
      <c r="C18" s="12">
        <v>3500</v>
      </c>
    </row>
    <row r="19" spans="2:4" x14ac:dyDescent="0.25">
      <c r="B19" s="1" t="s">
        <v>19</v>
      </c>
      <c r="C19" s="12">
        <v>0.3</v>
      </c>
    </row>
    <row r="20" spans="2:4" x14ac:dyDescent="0.25">
      <c r="B20" s="1" t="s">
        <v>20</v>
      </c>
      <c r="C20" s="15">
        <f>salario*pct_sugerido</f>
        <v>1050</v>
      </c>
    </row>
    <row r="21" spans="2:4" x14ac:dyDescent="0.25">
      <c r="B21" s="1" t="s">
        <v>21</v>
      </c>
      <c r="C21" s="15">
        <f>(1+taxa_mensal)^12-1</f>
        <v>0.10033869371614701</v>
      </c>
    </row>
    <row r="22" spans="2:4" x14ac:dyDescent="0.25">
      <c r="B22" s="1" t="s">
        <v>22</v>
      </c>
      <c r="C22" s="15">
        <f>-FV(taxa_mensal,prazo_anos*12,aporte_sugerido)</f>
        <v>210228.34288041404</v>
      </c>
    </row>
    <row r="23" spans="2:4" x14ac:dyDescent="0.25">
      <c r="B23" s="1" t="s">
        <v>23</v>
      </c>
      <c r="C23" s="15">
        <f>C22*taxa_mensal</f>
        <v>1681.8267430433123</v>
      </c>
    </row>
    <row r="25" spans="2:4" ht="19.5" customHeight="1" x14ac:dyDescent="0.25">
      <c r="B25" s="19" t="s">
        <v>24</v>
      </c>
      <c r="C25" s="19"/>
      <c r="D25" s="19"/>
    </row>
    <row r="26" spans="2:4" x14ac:dyDescent="0.25">
      <c r="B26" s="1" t="s">
        <v>25</v>
      </c>
      <c r="C26" s="12" t="s">
        <v>44</v>
      </c>
    </row>
    <row r="27" spans="2:4" x14ac:dyDescent="0.25">
      <c r="B27" s="11" t="s">
        <v>27</v>
      </c>
      <c r="C27" s="16" t="s">
        <v>28</v>
      </c>
      <c r="D27" s="11" t="s">
        <v>29</v>
      </c>
    </row>
    <row r="28" spans="2:4" x14ac:dyDescent="0.25">
      <c r="B28" s="5" t="s">
        <v>30</v>
      </c>
      <c r="C28" s="15">
        <f t="shared" ref="C28:C33" si="0">VLOOKUP(perfil&amp;"-"&amp;$B28,tab_perfis,4,FALSE())</f>
        <v>0.15</v>
      </c>
      <c r="D28" s="3">
        <f t="shared" ref="D28:D33" si="1">aporte*C28</f>
        <v>150</v>
      </c>
    </row>
    <row r="29" spans="2:4" x14ac:dyDescent="0.25">
      <c r="B29" s="5" t="s">
        <v>31</v>
      </c>
      <c r="C29" s="15">
        <f t="shared" si="0"/>
        <v>0.25</v>
      </c>
      <c r="D29" s="3">
        <f t="shared" si="1"/>
        <v>250</v>
      </c>
    </row>
    <row r="30" spans="2:4" x14ac:dyDescent="0.25">
      <c r="B30" s="5" t="s">
        <v>32</v>
      </c>
      <c r="C30" s="15">
        <f t="shared" si="0"/>
        <v>0.25</v>
      </c>
      <c r="D30" s="3">
        <f t="shared" si="1"/>
        <v>250</v>
      </c>
    </row>
    <row r="31" spans="2:4" x14ac:dyDescent="0.25">
      <c r="B31" s="5" t="s">
        <v>33</v>
      </c>
      <c r="C31" s="15">
        <f t="shared" si="0"/>
        <v>0.1</v>
      </c>
      <c r="D31" s="3">
        <f t="shared" si="1"/>
        <v>100</v>
      </c>
    </row>
    <row r="32" spans="2:4" x14ac:dyDescent="0.25">
      <c r="B32" s="5" t="s">
        <v>34</v>
      </c>
      <c r="C32" s="15">
        <f t="shared" si="0"/>
        <v>0.15</v>
      </c>
      <c r="D32" s="3">
        <f t="shared" si="1"/>
        <v>150</v>
      </c>
    </row>
    <row r="33" spans="2:4" x14ac:dyDescent="0.25">
      <c r="B33" s="5" t="s">
        <v>35</v>
      </c>
      <c r="C33" s="15">
        <f t="shared" si="0"/>
        <v>0.1</v>
      </c>
      <c r="D33" s="3">
        <f t="shared" si="1"/>
        <v>100</v>
      </c>
    </row>
    <row r="34" spans="2:4" x14ac:dyDescent="0.25">
      <c r="B34" s="6" t="s">
        <v>36</v>
      </c>
      <c r="C34" s="23">
        <f>SUM(C28:C33)</f>
        <v>1</v>
      </c>
      <c r="D34" s="24">
        <f>SUM(D28:D33)</f>
        <v>1000</v>
      </c>
    </row>
    <row r="35" spans="2:4" x14ac:dyDescent="0.25">
      <c r="B35" s="4" t="s">
        <v>37</v>
      </c>
    </row>
  </sheetData>
  <mergeCells count="7">
    <mergeCell ref="B17:D17"/>
    <mergeCell ref="B25:D25"/>
    <mergeCell ref="B2:I3"/>
    <mergeCell ref="B4:I4"/>
    <mergeCell ref="B6:D6"/>
    <mergeCell ref="F6:I6"/>
    <mergeCell ref="B11:D11"/>
  </mergeCells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Perfil inválido" error="Escolha um dos perfis da lista." xr:uid="{00000000-0002-0000-0000-000000000000}">
          <x14:formula1>
            <xm:f>Apoio!$F$3:$F$5</xm:f>
          </x14:formula1>
          <x14:formula2>
            <xm:f>0</xm:f>
          </x14:formula2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zoomScaleNormal="100" workbookViewId="0">
      <selection activeCell="F23" sqref="F23"/>
    </sheetView>
  </sheetViews>
  <sheetFormatPr defaultColWidth="8.7109375" defaultRowHeight="15" x14ac:dyDescent="0.25"/>
  <cols>
    <col min="1" max="1" width="30" customWidth="1"/>
    <col min="2" max="2" width="15" customWidth="1"/>
    <col min="3" max="3" width="24" customWidth="1"/>
    <col min="4" max="4" width="14.5703125" customWidth="1"/>
    <col min="5" max="5" width="3" customWidth="1"/>
    <col min="6" max="6" width="22" customWidth="1"/>
  </cols>
  <sheetData>
    <row r="1" spans="1:6" ht="15.75" x14ac:dyDescent="0.25">
      <c r="A1" s="7" t="s">
        <v>38</v>
      </c>
    </row>
    <row r="2" spans="1:6" x14ac:dyDescent="0.25">
      <c r="A2" s="18" t="s">
        <v>39</v>
      </c>
      <c r="B2" s="18" t="s">
        <v>40</v>
      </c>
      <c r="C2" s="18" t="s">
        <v>27</v>
      </c>
      <c r="D2" s="18" t="s">
        <v>41</v>
      </c>
      <c r="F2" s="17" t="s">
        <v>42</v>
      </c>
    </row>
    <row r="3" spans="1:6" x14ac:dyDescent="0.25">
      <c r="A3" s="5" t="str">
        <f t="shared" ref="A3:A20" si="0">B3&amp;"-"&amp;C3</f>
        <v>Conservador-Lajes Corporativas</v>
      </c>
      <c r="B3" s="5" t="s">
        <v>43</v>
      </c>
      <c r="C3" s="5" t="s">
        <v>30</v>
      </c>
      <c r="D3" s="5">
        <v>0.1</v>
      </c>
      <c r="F3" s="5" t="s">
        <v>43</v>
      </c>
    </row>
    <row r="4" spans="1:6" x14ac:dyDescent="0.25">
      <c r="A4" s="5" t="str">
        <f t="shared" si="0"/>
        <v>Conservador-Shoppings</v>
      </c>
      <c r="B4" s="5" t="s">
        <v>43</v>
      </c>
      <c r="C4" s="5" t="s">
        <v>31</v>
      </c>
      <c r="D4" s="5">
        <v>0.05</v>
      </c>
      <c r="F4" s="5" t="s">
        <v>26</v>
      </c>
    </row>
    <row r="5" spans="1:6" x14ac:dyDescent="0.25">
      <c r="A5" s="5" t="str">
        <f t="shared" si="0"/>
        <v>Conservador-Galpões Logísticos</v>
      </c>
      <c r="B5" s="5" t="s">
        <v>43</v>
      </c>
      <c r="C5" s="5" t="s">
        <v>32</v>
      </c>
      <c r="D5" s="5">
        <v>0.15</v>
      </c>
      <c r="F5" s="5" t="s">
        <v>44</v>
      </c>
    </row>
    <row r="6" spans="1:6" x14ac:dyDescent="0.25">
      <c r="A6" s="5" t="str">
        <f t="shared" si="0"/>
        <v>Conservador-Papel (CRI)</v>
      </c>
      <c r="B6" s="5" t="s">
        <v>43</v>
      </c>
      <c r="C6" s="5" t="s">
        <v>33</v>
      </c>
      <c r="D6" s="5">
        <v>0.4</v>
      </c>
    </row>
    <row r="7" spans="1:6" x14ac:dyDescent="0.25">
      <c r="A7" s="5" t="str">
        <f t="shared" si="0"/>
        <v>Conservador-Fundo de Fundos (FOF)</v>
      </c>
      <c r="B7" s="5" t="s">
        <v>43</v>
      </c>
      <c r="C7" s="5" t="s">
        <v>34</v>
      </c>
      <c r="D7" s="5">
        <v>0.2</v>
      </c>
    </row>
    <row r="8" spans="1:6" x14ac:dyDescent="0.25">
      <c r="A8" s="5" t="str">
        <f t="shared" si="0"/>
        <v>Conservador-Híbrido</v>
      </c>
      <c r="B8" s="5" t="s">
        <v>43</v>
      </c>
      <c r="C8" s="5" t="s">
        <v>35</v>
      </c>
      <c r="D8" s="5">
        <v>0.1</v>
      </c>
      <c r="F8" s="8" t="s">
        <v>45</v>
      </c>
    </row>
    <row r="9" spans="1:6" x14ac:dyDescent="0.25">
      <c r="A9" s="5" t="str">
        <f t="shared" si="0"/>
        <v>Moderado-Lajes Corporativas</v>
      </c>
      <c r="B9" s="5" t="s">
        <v>26</v>
      </c>
      <c r="C9" s="5" t="s">
        <v>30</v>
      </c>
      <c r="D9" s="5">
        <v>0.15</v>
      </c>
    </row>
    <row r="10" spans="1:6" x14ac:dyDescent="0.25">
      <c r="A10" s="5" t="str">
        <f t="shared" si="0"/>
        <v>Moderado-Shoppings</v>
      </c>
      <c r="B10" s="5" t="s">
        <v>26</v>
      </c>
      <c r="C10" s="5" t="s">
        <v>31</v>
      </c>
      <c r="D10" s="5">
        <v>0.15</v>
      </c>
    </row>
    <row r="11" spans="1:6" x14ac:dyDescent="0.25">
      <c r="A11" s="5" t="str">
        <f t="shared" si="0"/>
        <v>Moderado-Galpões Logísticos</v>
      </c>
      <c r="B11" s="5" t="s">
        <v>26</v>
      </c>
      <c r="C11" s="5" t="s">
        <v>32</v>
      </c>
      <c r="D11" s="5">
        <v>0.2</v>
      </c>
    </row>
    <row r="12" spans="1:6" x14ac:dyDescent="0.25">
      <c r="A12" s="5" t="str">
        <f t="shared" si="0"/>
        <v>Moderado-Papel (CRI)</v>
      </c>
      <c r="B12" s="5" t="s">
        <v>26</v>
      </c>
      <c r="C12" s="5" t="s">
        <v>33</v>
      </c>
      <c r="D12" s="5">
        <v>0.25</v>
      </c>
    </row>
    <row r="13" spans="1:6" x14ac:dyDescent="0.25">
      <c r="A13" s="5" t="str">
        <f t="shared" si="0"/>
        <v>Moderado-Fundo de Fundos (FOF)</v>
      </c>
      <c r="B13" s="5" t="s">
        <v>26</v>
      </c>
      <c r="C13" s="5" t="s">
        <v>34</v>
      </c>
      <c r="D13" s="5">
        <v>0.15</v>
      </c>
    </row>
    <row r="14" spans="1:6" x14ac:dyDescent="0.25">
      <c r="A14" s="5" t="str">
        <f t="shared" si="0"/>
        <v>Moderado-Híbrido</v>
      </c>
      <c r="B14" s="5" t="s">
        <v>26</v>
      </c>
      <c r="C14" s="5" t="s">
        <v>35</v>
      </c>
      <c r="D14" s="5">
        <v>0.1</v>
      </c>
    </row>
    <row r="15" spans="1:6" x14ac:dyDescent="0.25">
      <c r="A15" s="5" t="str">
        <f t="shared" si="0"/>
        <v>Arrojado-Lajes Corporativas</v>
      </c>
      <c r="B15" s="5" t="s">
        <v>44</v>
      </c>
      <c r="C15" s="5" t="s">
        <v>30</v>
      </c>
      <c r="D15" s="5">
        <v>0.15</v>
      </c>
    </row>
    <row r="16" spans="1:6" x14ac:dyDescent="0.25">
      <c r="A16" s="5" t="str">
        <f t="shared" si="0"/>
        <v>Arrojado-Shoppings</v>
      </c>
      <c r="B16" s="5" t="s">
        <v>44</v>
      </c>
      <c r="C16" s="5" t="s">
        <v>31</v>
      </c>
      <c r="D16" s="5">
        <v>0.25</v>
      </c>
    </row>
    <row r="17" spans="1:4" x14ac:dyDescent="0.25">
      <c r="A17" s="5" t="str">
        <f t="shared" si="0"/>
        <v>Arrojado-Galpões Logísticos</v>
      </c>
      <c r="B17" s="5" t="s">
        <v>44</v>
      </c>
      <c r="C17" s="5" t="s">
        <v>32</v>
      </c>
      <c r="D17" s="5">
        <v>0.25</v>
      </c>
    </row>
    <row r="18" spans="1:4" x14ac:dyDescent="0.25">
      <c r="A18" s="5" t="str">
        <f t="shared" si="0"/>
        <v>Arrojado-Papel (CRI)</v>
      </c>
      <c r="B18" s="5" t="s">
        <v>44</v>
      </c>
      <c r="C18" s="5" t="s">
        <v>33</v>
      </c>
      <c r="D18" s="5">
        <v>0.1</v>
      </c>
    </row>
    <row r="19" spans="1:4" x14ac:dyDescent="0.25">
      <c r="A19" s="5" t="str">
        <f t="shared" si="0"/>
        <v>Arrojado-Fundo de Fundos (FOF)</v>
      </c>
      <c r="B19" s="5" t="s">
        <v>44</v>
      </c>
      <c r="C19" s="5" t="s">
        <v>34</v>
      </c>
      <c r="D19" s="5">
        <v>0.15</v>
      </c>
    </row>
    <row r="20" spans="1:4" x14ac:dyDescent="0.25">
      <c r="A20" s="5" t="str">
        <f t="shared" si="0"/>
        <v>Arrojado-Híbrido</v>
      </c>
      <c r="B20" s="5" t="s">
        <v>44</v>
      </c>
      <c r="C20" s="5" t="s">
        <v>35</v>
      </c>
      <c r="D20" s="5">
        <v>0.1</v>
      </c>
    </row>
    <row r="22" spans="1:4" x14ac:dyDescent="0.25">
      <c r="C22" s="9" t="s">
        <v>46</v>
      </c>
    </row>
    <row r="23" spans="1:4" x14ac:dyDescent="0.25">
      <c r="C23" s="10" t="s">
        <v>43</v>
      </c>
      <c r="D23" s="9">
        <f>SUMIF($B$3:$B$20,C23,$D$3:$D$20)</f>
        <v>1.0000000000000002</v>
      </c>
    </row>
    <row r="24" spans="1:4" x14ac:dyDescent="0.25">
      <c r="C24" s="10" t="s">
        <v>26</v>
      </c>
      <c r="D24" s="9">
        <f>SUMIF($B$3:$B$20,C24,$D$3:$D$20)</f>
        <v>1</v>
      </c>
    </row>
    <row r="25" spans="1:4" x14ac:dyDescent="0.25">
      <c r="C25" s="10" t="s">
        <v>44</v>
      </c>
      <c r="D25" s="9">
        <f>SUMIF($B$3:$B$20,C25,$D$3:$D$20)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</vt:lpstr>
      <vt:lpstr>Apoio</vt:lpstr>
      <vt:lpstr>aporte</vt:lpstr>
      <vt:lpstr>aporte_sugerido</vt:lpstr>
      <vt:lpstr>patrimonio</vt:lpstr>
      <vt:lpstr>pct_sugerido</vt:lpstr>
      <vt:lpstr>perfil</vt:lpstr>
      <vt:lpstr>prazo_anos</vt:lpstr>
      <vt:lpstr>salario</vt:lpstr>
      <vt:lpstr>tab_perfis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2026-10-18T14:24:09Z</dcterms:created>
  <dcterms:modified xsi:type="dcterms:W3CDTF">2026-10-18T14:43:22Z</dcterms:modified>
  <dc:language>en-US</dc:language>
</cp:coreProperties>
</file>